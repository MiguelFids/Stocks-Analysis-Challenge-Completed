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gal\OneDrive\Documents\UofT Bootcamp\Week 2 VBA\Stock Analysis\Stocks-Analysis-Challenge-Completed\"/>
    </mc:Choice>
  </mc:AlternateContent>
  <xr:revisionPtr revIDLastSave="0" documentId="13_ncr:1_{A55B0093-2166-445B-96AF-771EF88685D9}" xr6:coauthVersionLast="47" xr6:coauthVersionMax="47" xr10:uidLastSave="{00000000-0000-0000-0000-000000000000}"/>
  <bookViews>
    <workbookView xWindow="2160" yWindow="2160" windowWidth="17280" windowHeight="8880" activeTab="2" xr2:uid="{00000000-000D-0000-FFFF-FFFF00000000}"/>
  </bookViews>
  <sheets>
    <sheet name="2017" sheetId="1" r:id="rId1"/>
    <sheet name="2018" sheetId="2" r:id="rId2"/>
    <sheet name="All Stocks Analysis" sheetId="4" r:id="rId3"/>
    <sheet name="DQ Analysis" sheetId="3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4" l="1"/>
  <c r="E10" i="4"/>
  <c r="E11" i="4"/>
  <c r="E12" i="4"/>
  <c r="E13" i="4"/>
  <c r="E14" i="4"/>
  <c r="J253" i="2"/>
  <c r="J252" i="2"/>
  <c r="I252" i="2"/>
</calcChain>
</file>

<file path=xl/sharedStrings.xml><?xml version="1.0" encoding="utf-8"?>
<sst xmlns="http://schemas.openxmlformats.org/spreadsheetml/2006/main" count="12089" uniqueCount="534">
  <si>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</si>
  <si>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</si>
  <si>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</si>
  <si>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</si>
  <si>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</si>
  <si>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</si>
  <si>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</si>
  <si>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</si>
  <si>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</si>
  <si>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</si>
  <si>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</si>
  <si>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</si>
  <si>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</si>
  <si>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</si>
  <si>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</si>
  <si>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</si>
  <si>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</si>
  <si>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</si>
  <si>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</si>
  <si>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</si>
  <si>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</si>
  <si>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</si>
  <si>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</si>
  <si>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</si>
  <si>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</si>
  <si>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</si>
  <si>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</si>
  <si>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</si>
  <si>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</si>
  <si>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</si>
  <si>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</si>
  <si>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</si>
  <si>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</si>
  <si>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</si>
  <si>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</si>
  <si>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</si>
  <si>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</si>
  <si>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</si>
  <si>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</si>
  <si>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</si>
  <si>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</si>
  <si>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</si>
  <si>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</si>
  <si>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</si>
  <si>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</si>
  <si>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</si>
  <si>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</si>
  <si>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</si>
  <si>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</si>
  <si>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</si>
  <si>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</si>
  <si>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</si>
  <si>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</si>
  <si>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</si>
  <si>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</si>
  <si>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</si>
  <si>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</si>
  <si>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</si>
  <si>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</si>
  <si>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</si>
  <si>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</si>
  <si>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</si>
  <si>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</si>
  <si>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</si>
  <si>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</si>
  <si>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</si>
  <si>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</si>
  <si>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</si>
  <si>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</si>
  <si>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</si>
  <si>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</si>
  <si>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</si>
  <si>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</si>
  <si>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</si>
  <si>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</si>
  <si>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</si>
  <si>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</si>
  <si>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</si>
  <si>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</si>
  <si>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</si>
  <si>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</si>
  <si>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</si>
  <si>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</si>
  <si>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</si>
  <si>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</si>
  <si>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</si>
  <si>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</si>
  <si>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</si>
  <si>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</si>
  <si>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</si>
  <si>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</si>
  <si>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</si>
  <si>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</si>
  <si>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</si>
  <si>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</si>
  <si>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</si>
  <si>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</si>
  <si>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</si>
  <si>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</si>
  <si>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</si>
  <si>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</si>
  <si>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</si>
  <si>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</si>
  <si>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</si>
  <si>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</si>
  <si>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</si>
  <si>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</si>
  <si>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</si>
  <si>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</si>
  <si>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</si>
  <si>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</si>
  <si>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</si>
  <si>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</si>
  <si>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</si>
  <si>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</si>
  <si>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</si>
  <si>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</si>
  <si>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</si>
  <si>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</si>
  <si>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</si>
  <si>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</si>
  <si>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</si>
  <si>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</si>
  <si>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</si>
  <si>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</si>
  <si>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</si>
  <si>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</si>
  <si>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</si>
  <si>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</si>
  <si>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</si>
  <si>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</si>
  <si>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</si>
  <si>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</si>
  <si>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</si>
  <si>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</si>
  <si>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</si>
  <si>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</si>
  <si>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</si>
  <si>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</si>
  <si>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</si>
  <si>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</si>
  <si>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</si>
  <si>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</si>
  <si>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</si>
  <si>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</si>
  <si>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</si>
  <si>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</si>
  <si>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</si>
  <si>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</si>
  <si>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</si>
  <si>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</si>
  <si>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</si>
  <si>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</si>
  <si>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</si>
  <si>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</si>
  <si>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</si>
  <si>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</si>
  <si>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</si>
  <si>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</si>
  <si>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</si>
  <si>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</si>
  <si>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</si>
  <si>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</si>
  <si>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</si>
  <si>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</si>
  <si>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</si>
  <si>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</si>
  <si>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</si>
  <si>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</si>
  <si>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</si>
  <si>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</si>
  <si>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</si>
  <si>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</si>
  <si>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</si>
  <si>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</si>
  <si>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</si>
  <si>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</si>
  <si>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</si>
  <si>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</si>
  <si>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</si>
  <si>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</si>
  <si>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</si>
  <si>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</si>
  <si>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</si>
  <si>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</si>
  <si>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</si>
  <si>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</si>
  <si>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</si>
  <si>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</si>
  <si>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</si>
  <si>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</si>
  <si>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</si>
  <si>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</si>
  <si>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</si>
  <si>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</si>
  <si>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</si>
  <si>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</si>
  <si>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</si>
  <si>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</si>
  <si>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</si>
  <si>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</si>
  <si>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</si>
  <si>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</si>
  <si>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</si>
  <si>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</si>
  <si>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</si>
  <si>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</si>
  <si>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</si>
  <si>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</si>
  <si>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</si>
  <si>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</si>
  <si>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</si>
  <si>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</si>
  <si>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</si>
  <si>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</si>
  <si>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</si>
  <si>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</si>
  <si>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</si>
  <si>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</si>
  <si>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</si>
  <si>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</si>
  <si>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</si>
  <si>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</si>
  <si>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</si>
  <si>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</si>
  <si>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</si>
  <si>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</si>
  <si>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</si>
  <si>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</si>
  <si>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</si>
  <si>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</si>
  <si>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</si>
  <si>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</si>
  <si>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</si>
  <si>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</si>
  <si>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</si>
  <si>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</si>
  <si>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</si>
  <si>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</si>
  <si>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</si>
  <si>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</si>
  <si>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</si>
  <si>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</si>
  <si>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</si>
  <si>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</si>
  <si>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</si>
  <si>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</si>
  <si>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</si>
  <si>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</si>
  <si>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</si>
  <si>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</si>
  <si>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</si>
  <si>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</si>
  <si>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</si>
  <si>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</si>
  <si>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</si>
  <si>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</si>
  <si>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</si>
  <si>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</si>
  <si>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</si>
  <si>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</si>
  <si>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</si>
  <si>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</si>
  <si>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</si>
  <si>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</si>
  <si>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</si>
  <si>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</si>
  <si>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</si>
  <si>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</si>
  <si>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</si>
  <si>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</si>
  <si>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</si>
  <si>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</si>
  <si>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</si>
  <si>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</si>
  <si>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</si>
  <si>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</si>
  <si>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</si>
  <si>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</si>
  <si>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</si>
  <si>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</si>
  <si>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</si>
  <si>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</si>
  <si>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</si>
  <si>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</si>
  <si>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</si>
  <si>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</si>
  <si>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</si>
  <si>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</si>
  <si>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</si>
  <si>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</si>
  <si>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</si>
  <si>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</si>
  <si>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</si>
  <si>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</si>
  <si>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</si>
  <si>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</si>
  <si>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</si>
  <si>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</si>
  <si>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</si>
  <si>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</si>
  <si>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</si>
  <si>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</si>
  <si>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</si>
  <si>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</si>
  <si>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</si>
  <si>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</si>
  <si>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</si>
  <si>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</si>
  <si>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</si>
  <si>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</si>
  <si>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</si>
  <si>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</si>
  <si>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</si>
  <si>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</si>
  <si>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</si>
  <si>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</si>
  <si>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</si>
  <si>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</si>
  <si>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</si>
  <si>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</si>
  <si>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</si>
  <si>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</si>
  <si>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</si>
  <si>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</si>
  <si>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</si>
  <si>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</si>
  <si>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</si>
  <si>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</si>
  <si>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</si>
  <si>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</si>
  <si>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</si>
  <si>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</si>
  <si>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</si>
  <si>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</si>
  <si>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</si>
  <si>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</si>
  <si>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</si>
  <si>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</si>
  <si>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</si>
  <si>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</si>
  <si>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</si>
  <si>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</si>
  <si>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</si>
  <si>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</si>
  <si>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</si>
  <si>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</si>
  <si>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</si>
  <si>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</si>
  <si>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</si>
  <si>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</si>
  <si>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</si>
  <si>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</si>
  <si>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</si>
  <si>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</si>
  <si>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</si>
  <si>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</si>
  <si>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</si>
  <si>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</si>
  <si>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</si>
  <si>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</si>
  <si>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</si>
  <si>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</si>
  <si>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</si>
  <si>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</si>
  <si>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</si>
  <si>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</si>
  <si>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</si>
  <si>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</si>
  <si>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</si>
  <si>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</si>
  <si>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</si>
  <si>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</si>
  <si>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</si>
  <si>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</si>
  <si>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</si>
  <si>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</si>
  <si>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</si>
  <si>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</si>
  <si>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</si>
  <si>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</si>
  <si>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</si>
  <si>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</si>
  <si>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</si>
  <si>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</si>
  <si>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</si>
  <si>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</si>
  <si>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</si>
  <si>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</si>
  <si>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</si>
  <si>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</si>
  <si>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</si>
  <si>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</si>
  <si>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</si>
  <si>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</si>
  <si>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</si>
  <si>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</si>
  <si>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</si>
  <si>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</si>
  <si>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</si>
  <si>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</si>
  <si>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</si>
  <si>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</si>
  <si>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</si>
  <si>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</si>
  <si>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</si>
  <si>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</si>
  <si>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</si>
  <si>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</si>
  <si>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</si>
  <si>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</si>
  <si>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</si>
  <si>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</si>
  <si>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</si>
  <si>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</si>
  <si>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</si>
  <si>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</si>
  <si>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</si>
  <si>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</si>
  <si>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</si>
  <si>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</si>
  <si>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</si>
  <si>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</si>
  <si>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</si>
  <si>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</si>
  <si>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</si>
  <si>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</si>
  <si>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</si>
  <si>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</si>
  <si>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</si>
  <si>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</si>
  <si>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</si>
  <si>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</si>
  <si>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</si>
  <si>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</si>
  <si>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</si>
  <si>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</si>
  <si>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</si>
  <si>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</si>
  <si>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</si>
  <si>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</si>
  <si>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</si>
  <si>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</si>
  <si>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</si>
  <si>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</si>
  <si>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</si>
  <si>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</si>
  <si>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</si>
  <si>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</si>
  <si>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</si>
  <si>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</si>
  <si>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</si>
  <si>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</si>
  <si>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</si>
  <si>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</si>
  <si>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</si>
  <si>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</si>
  <si>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</si>
  <si>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</si>
  <si>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</si>
  <si>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</si>
  <si>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</si>
  <si>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</si>
  <si>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</si>
  <si>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</si>
  <si>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</si>
  <si>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</si>
  <si>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</si>
  <si>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</si>
  <si>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</si>
  <si>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</si>
  <si>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</si>
  <si>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</si>
  <si>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</si>
  <si>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</si>
  <si>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</si>
  <si>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</si>
  <si>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</si>
  <si>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</si>
  <si>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</si>
  <si>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</si>
  <si>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</si>
  <si>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</si>
  <si>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</si>
  <si>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</si>
  <si>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</si>
  <si>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</si>
  <si>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</si>
  <si>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</si>
  <si>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</si>
  <si>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</si>
  <si>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</si>
  <si>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</si>
  <si>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</si>
  <si>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</si>
  <si>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</si>
  <si>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</si>
  <si>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</si>
  <si>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</si>
  <si>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</si>
  <si>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</si>
  <si>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</si>
  <si>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</si>
  <si>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</si>
  <si>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</si>
  <si>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</si>
  <si>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</si>
  <si>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</si>
  <si>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</si>
  <si>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</si>
  <si>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</si>
  <si>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</si>
  <si>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</si>
  <si>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</si>
  <si>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</si>
  <si>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</si>
  <si>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</si>
  <si>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</si>
  <si>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</si>
  <si>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</si>
  <si>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</si>
  <si>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</si>
  <si>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</si>
  <si>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</si>
  <si>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</si>
  <si>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</si>
  <si>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2018</t>
  </si>
  <si>
    <t>All Stocks (2017)</t>
  </si>
  <si>
    <t>Quartile LB</t>
  </si>
  <si>
    <t>Quartile UB</t>
  </si>
  <si>
    <t>Quartile Med</t>
  </si>
  <si>
    <t>Average return</t>
  </si>
  <si>
    <t>Average volume</t>
  </si>
  <si>
    <t>Standard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</si>
</sst>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480060</xdr:colOff>
          <xdr:row>3</xdr:row>
          <xdr:rowOff>22860</xdr:rowOff>
        </xdr:from>
        <xdr:to>
          <xdr:col>5</xdr:col>
          <xdr:colOff>205740</xdr:colOff>
          <xdr:row>6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2" sqref="A2:A3013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pane ySplit="1" topLeftCell="A230" activePane="bottomLeft" state="frozen"/>
      <selection pane="bottomLeft" activeCell="F1" sqref="F1:F1048576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s="2">
        <v>43110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10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10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10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10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10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10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10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10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10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10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10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10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>21.3 * 0.073</f>
        <v>1.5548999999999999</v>
      </c>
      <c r="J252">
        <f>21.3 - I252</f>
        <v>19.745100000000001</v>
      </c>
    </row>
    <row r="253" spans="1:10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J253">
        <f>19.6 + I252</f>
        <v>21.154900000000001</v>
      </c>
    </row>
    <row r="254" spans="1:10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0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0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0C262-EE73-48C8-88D1-762A4C04C2E9}">
  <sheetPr codeName="Sheet4"/>
  <dimension ref="A1:F15"/>
  <sheetViews>
    <sheetView tabSelected="1" workbookViewId="0">
      <selection activeCell="F9" sqref="F9"/>
    </sheetView>
  </sheetViews>
  <sheetFormatPr defaultRowHeight="14.4" x14ac:dyDescent="0.3"/>
  <cols>
    <col min="2" max="2" width="16.88671875" bestFit="1" customWidth="1"/>
    <col min="4" max="4" width="14.109375" bestFit="1" customWidth="1"/>
    <col min="5" max="5" width="12" bestFit="1" customWidth="1"/>
    <col min="7" max="7" width="10" bestFit="1" customWidth="1"/>
  </cols>
  <sheetData>
    <row r="1" spans="1:6" x14ac:dyDescent="0.3">
      <c r="A1" t="s">
        <v>527</v>
      </c>
    </row>
    <row r="3" spans="1:6" x14ac:dyDescent="0.3">
      <c r="A3" s="3" t="s">
        <v>0</v>
      </c>
      <c r="B3" s="3" t="s">
        <v>524</v>
      </c>
      <c r="C3" s="3" t="s">
        <v>525</v>
      </c>
    </row>
    <row r="4" spans="1:6" x14ac:dyDescent="0.3">
      <c r="A4" t="s">
        <v>8</v>
      </c>
      <c r="B4" s="4">
        <v>136070900</v>
      </c>
      <c r="C4" s="6">
        <v>8.9368253946304321E-2</v>
      </c>
    </row>
    <row r="5" spans="1:6" x14ac:dyDescent="0.3">
      <c r="A5" t="s">
        <v>9</v>
      </c>
      <c r="B5" s="4">
        <v>310592800</v>
      </c>
      <c r="C5" s="6">
        <v>0.33070248365402222</v>
      </c>
    </row>
    <row r="6" spans="1:6" x14ac:dyDescent="0.3">
      <c r="A6" t="s">
        <v>10</v>
      </c>
      <c r="B6" s="4">
        <v>35796200</v>
      </c>
      <c r="C6" s="6">
        <v>1.9944583177566528</v>
      </c>
    </row>
    <row r="7" spans="1:6" x14ac:dyDescent="0.3">
      <c r="A7" t="s">
        <v>11</v>
      </c>
      <c r="B7" s="4">
        <v>221772100</v>
      </c>
      <c r="C7" s="6">
        <v>1.2952382564544678</v>
      </c>
    </row>
    <row r="8" spans="1:6" x14ac:dyDescent="0.3">
      <c r="A8" t="s">
        <v>12</v>
      </c>
      <c r="B8" s="4">
        <v>684181400</v>
      </c>
      <c r="C8" s="6">
        <v>1.0131185054779053</v>
      </c>
    </row>
    <row r="9" spans="1:6" x14ac:dyDescent="0.3">
      <c r="A9" t="s">
        <v>13</v>
      </c>
      <c r="B9" s="4">
        <v>80949300</v>
      </c>
      <c r="C9" s="6">
        <v>0.2583681046962738</v>
      </c>
      <c r="D9" t="s">
        <v>528</v>
      </c>
      <c r="E9" s="7">
        <f>_xlfn.QUARTILE.EXC(C4:C15,1)</f>
        <v>0.12469043955206871</v>
      </c>
      <c r="F9" s="8"/>
    </row>
    <row r="10" spans="1:6" x14ac:dyDescent="0.3">
      <c r="A10" t="s">
        <v>14</v>
      </c>
      <c r="B10" s="4">
        <v>191632200</v>
      </c>
      <c r="C10" s="6">
        <v>0.53870755434036255</v>
      </c>
      <c r="D10" t="s">
        <v>530</v>
      </c>
      <c r="E10" s="7">
        <f>_xlfn.QUARTILE.EXC(C4:C15,2)</f>
        <v>0.4153512716293335</v>
      </c>
    </row>
    <row r="11" spans="1:6" x14ac:dyDescent="0.3">
      <c r="A11" t="s">
        <v>15</v>
      </c>
      <c r="B11" s="4">
        <v>267681300</v>
      </c>
      <c r="C11" s="6">
        <v>5.5456161499023438E-2</v>
      </c>
      <c r="D11" t="s">
        <v>529</v>
      </c>
      <c r="E11" s="7">
        <f>_xlfn.QUARTILE.EXC(C4:C15,3)</f>
        <v>1.2247083187103271</v>
      </c>
    </row>
    <row r="12" spans="1:6" x14ac:dyDescent="0.3">
      <c r="A12" t="s">
        <v>16</v>
      </c>
      <c r="B12" s="4">
        <v>206885200</v>
      </c>
      <c r="C12" s="6">
        <v>1.8446969985961914</v>
      </c>
      <c r="D12" t="s">
        <v>531</v>
      </c>
      <c r="E12" s="7">
        <f>AVERAGE(C:C)</f>
        <v>0.67321856009463465</v>
      </c>
    </row>
    <row r="13" spans="1:6" x14ac:dyDescent="0.3">
      <c r="A13" t="s">
        <v>17</v>
      </c>
      <c r="B13" s="4">
        <v>782187000</v>
      </c>
      <c r="C13" s="6">
        <v>0.23065699636936188</v>
      </c>
      <c r="D13" t="s">
        <v>532</v>
      </c>
      <c r="E13">
        <f>AVERAGE(B:B)</f>
        <v>263886591.66666666</v>
      </c>
    </row>
    <row r="14" spans="1:6" x14ac:dyDescent="0.3">
      <c r="A14" t="s">
        <v>18</v>
      </c>
      <c r="B14" s="4">
        <v>139402800</v>
      </c>
      <c r="C14" s="5">
        <v>-7.2148971259593964E-2</v>
      </c>
      <c r="D14" t="s">
        <v>533</v>
      </c>
      <c r="E14" s="7">
        <f>_xlfn.STDEV.P(C4:C15)</f>
        <v>0.67280122019618149</v>
      </c>
    </row>
    <row r="15" spans="1:6" x14ac:dyDescent="0.3">
      <c r="A15" t="s">
        <v>19</v>
      </c>
      <c r="B15" s="4">
        <v>109487900</v>
      </c>
      <c r="C15" s="6">
        <v>0.50000005960464478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3</xdr:col>
                    <xdr:colOff>480060</xdr:colOff>
                    <xdr:row>3</xdr:row>
                    <xdr:rowOff>22860</xdr:rowOff>
                  </from>
                  <to>
                    <xdr:col>5</xdr:col>
                    <xdr:colOff>205740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5D022-E843-4852-B35A-BDDAF4E7D0A7}">
  <sheetPr codeName="Sheet3"/>
  <dimension ref="A1:C4"/>
  <sheetViews>
    <sheetView workbookViewId="0">
      <selection activeCell="C28" sqref="C28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-1.8047724136099796E-2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All Stocks Analysis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Miguel Fidelino</cp:lastModifiedBy>
  <dcterms:created xsi:type="dcterms:W3CDTF">2019-05-02T20:23:55Z</dcterms:created>
  <dcterms:modified xsi:type="dcterms:W3CDTF">2022-09-03T20:22:59Z</dcterms:modified>
</cp:coreProperties>
</file>